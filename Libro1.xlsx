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it\Documents\"/>
    </mc:Choice>
  </mc:AlternateContent>
  <xr:revisionPtr revIDLastSave="0" documentId="13_ncr:1_{5943F10D-AEB0-485D-899B-2D14A1BC46B4}" xr6:coauthVersionLast="47" xr6:coauthVersionMax="47" xr10:uidLastSave="{00000000-0000-0000-0000-000000000000}"/>
  <bookViews>
    <workbookView xWindow="-120" yWindow="-120" windowWidth="29040" windowHeight="15720" activeTab="2" xr2:uid="{E1C67D8E-A85E-487A-BBBF-AA71F2958289}"/>
  </bookViews>
  <sheets>
    <sheet name="pract.1" sheetId="1" r:id="rId1"/>
    <sheet name="pract.2" sheetId="2" r:id="rId2"/>
    <sheet name="Hoj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4" l="1"/>
  <c r="G17" i="4"/>
  <c r="G18" i="4"/>
  <c r="G19" i="4"/>
  <c r="G20" i="4"/>
  <c r="G21" i="4"/>
  <c r="G22" i="4"/>
  <c r="G15" i="4"/>
  <c r="F16" i="4"/>
  <c r="F17" i="4"/>
  <c r="F18" i="4"/>
  <c r="F19" i="4"/>
  <c r="F20" i="4"/>
  <c r="F21" i="4"/>
  <c r="F22" i="4"/>
  <c r="F15" i="4"/>
  <c r="E16" i="4"/>
  <c r="E17" i="4"/>
  <c r="E18" i="4"/>
  <c r="E19" i="4"/>
  <c r="E20" i="4"/>
  <c r="E21" i="4"/>
  <c r="E22" i="4"/>
  <c r="E15" i="4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8" i="2"/>
  <c r="D10" i="2"/>
  <c r="D11" i="2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9" i="2"/>
  <c r="D5" i="2"/>
  <c r="D4" i="2"/>
  <c r="I7" i="1"/>
  <c r="J7" i="1"/>
  <c r="H7" i="1"/>
  <c r="I6" i="1"/>
  <c r="J6" i="1"/>
  <c r="H6" i="1"/>
  <c r="D16" i="1"/>
  <c r="E16" i="1"/>
  <c r="C16" i="1"/>
  <c r="E10" i="1"/>
  <c r="D10" i="1"/>
  <c r="C10" i="1"/>
</calcChain>
</file>

<file path=xl/sharedStrings.xml><?xml version="1.0" encoding="utf-8"?>
<sst xmlns="http://schemas.openxmlformats.org/spreadsheetml/2006/main" count="62" uniqueCount="51">
  <si>
    <t xml:space="preserve">operaciones </t>
  </si>
  <si>
    <t xml:space="preserve">sumar </t>
  </si>
  <si>
    <t>dato1</t>
  </si>
  <si>
    <t>dato2</t>
  </si>
  <si>
    <t>dato3</t>
  </si>
  <si>
    <t>dato4</t>
  </si>
  <si>
    <t>dato5</t>
  </si>
  <si>
    <t xml:space="preserve">total </t>
  </si>
  <si>
    <t xml:space="preserve">RESTAR </t>
  </si>
  <si>
    <t>TOTAL</t>
  </si>
  <si>
    <t xml:space="preserve">MULTIPLICAR/DIVIDIR </t>
  </si>
  <si>
    <t>total</t>
  </si>
  <si>
    <t>PRECIO</t>
  </si>
  <si>
    <t xml:space="preserve">TASA IVA </t>
  </si>
  <si>
    <t xml:space="preserve">IVA </t>
  </si>
  <si>
    <t xml:space="preserve">IMPORTE TOTAL </t>
  </si>
  <si>
    <t xml:space="preserve">PRODUCTO 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</si>
  <si>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</si>
  <si>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</si>
  <si>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</si>
  <si>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</si>
  <si>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</si>
  <si>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</si>
  <si>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</si>
  <si>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</si>
  <si>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</si>
  <si>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</si>
  <si>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</si>
  <si>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</si>
  <si>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</si>
  <si>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</si>
  <si>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</si>
  <si>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</si>
  <si>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</si>
  <si>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</si>
  <si>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 xml:space="preserve">PRECIO </t>
  </si>
  <si>
    <t>TASA IVA</t>
  </si>
  <si>
    <t xml:space="preserve">HOTEL MIRA </t>
  </si>
  <si>
    <t xml:space="preserve">ANTION PEREZ </t>
  </si>
  <si>
    <t xml:space="preserve">CLIENTE </t>
  </si>
  <si>
    <t xml:space="preserve">FECHA DE LLEGADA </t>
  </si>
  <si>
    <t xml:space="preserve">JUAN FERNANEZ </t>
  </si>
  <si>
    <t>AMELIA ANTONI</t>
  </si>
  <si>
    <t>MARISA PEÑA</t>
  </si>
  <si>
    <t>VIOLETA RODRIGEZ</t>
  </si>
  <si>
    <t>CARMEN VENAMENTE</t>
  </si>
  <si>
    <t>MARIOPUERTA</t>
  </si>
  <si>
    <t>SALVADOR YUSTE</t>
  </si>
  <si>
    <t>DIAS DE ESTANCIA</t>
  </si>
  <si>
    <t>IVA</t>
  </si>
  <si>
    <t>PRECIO DE 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</si>
</sst>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S/&quot;\ #,##0.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9" fontId="0" fillId="0" borderId="5" xfId="0" applyNumberFormat="1" applyBorder="1"/>
    <xf numFmtId="0" fontId="0" fillId="0" borderId="8" xfId="0" applyBorder="1" applyAlignment="1"/>
    <xf numFmtId="0" fontId="0" fillId="0" borderId="9" xfId="0" applyBorder="1" applyAlignment="1"/>
    <xf numFmtId="0" fontId="0" fillId="0" borderId="5" xfId="0" applyBorder="1" applyAlignment="1"/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5" xfId="0" applyFill="1" applyBorder="1"/>
    <xf numFmtId="9" fontId="0" fillId="0" borderId="0" xfId="0" applyNumberFormat="1" applyAlignment="1">
      <alignment horizontal="center"/>
    </xf>
    <xf numFmtId="0" fontId="0" fillId="2" borderId="2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0" fillId="2" borderId="4" xfId="0" applyNumberFormat="1" applyFill="1" applyBorder="1" applyAlignment="1">
      <alignment horizontal="center"/>
    </xf>
    <xf numFmtId="14" fontId="0" fillId="0" borderId="5" xfId="0" applyNumberFormat="1" applyBorder="1"/>
    <xf numFmtId="168" fontId="0" fillId="0" borderId="5" xfId="0" applyNumberFormat="1" applyBorder="1"/>
    <xf numFmtId="0" fontId="0" fillId="3" borderId="5" xfId="0" applyFill="1" applyBorder="1" applyAlignment="1">
      <alignment horizontal="center"/>
    </xf>
    <xf numFmtId="0" fontId="0" fillId="7" borderId="5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HOTEL</a:t>
            </a:r>
            <a:r>
              <a:rPr lang="en-US" baseline="0"/>
              <a:t> MIRAMAR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Hoja3!$D$14</c:f>
              <c:strCache>
                <c:ptCount val="1"/>
                <c:pt idx="0">
                  <c:v>DIAS DE ESTANCIA</c:v>
                </c:pt>
              </c:strCache>
            </c:strRef>
          </c:tx>
          <c:dPt>
            <c:idx val="0"/>
            <c:bubble3D val="0"/>
            <c:explosion val="15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1AB-426F-867C-A656296D6EAF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51AB-426F-867C-A656296D6EAF}"/>
              </c:ext>
            </c:extLst>
          </c:dPt>
          <c:dPt>
            <c:idx val="2"/>
            <c:bubble3D val="0"/>
            <c:explosion val="14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1AB-426F-867C-A656296D6EAF}"/>
              </c:ext>
            </c:extLst>
          </c:dPt>
          <c:dPt>
            <c:idx val="3"/>
            <c:bubble3D val="0"/>
            <c:explosion val="18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51AB-426F-867C-A656296D6EAF}"/>
              </c:ext>
            </c:extLst>
          </c:dPt>
          <c:dPt>
            <c:idx val="4"/>
            <c:bubble3D val="0"/>
            <c:explosion val="22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1AB-426F-867C-A656296D6EAF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51AB-426F-867C-A656296D6EAF}"/>
              </c:ext>
            </c:extLst>
          </c:dPt>
          <c:dPt>
            <c:idx val="6"/>
            <c:bubble3D val="0"/>
            <c:explosion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1AB-426F-867C-A656296D6EAF}"/>
              </c:ext>
            </c:extLst>
          </c:dPt>
          <c:dPt>
            <c:idx val="7"/>
            <c:bubble3D val="0"/>
            <c:explosion val="12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51AB-426F-867C-A656296D6EA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Hoja3!$B$15:$C$22</c:f>
              <c:multiLvlStrCache>
                <c:ptCount val="8"/>
                <c:lvl>
                  <c:pt idx="0">
                    <c:v>25/06/2025</c:v>
                  </c:pt>
                  <c:pt idx="1">
                    <c:v>20/06/2025</c:v>
                  </c:pt>
                  <c:pt idx="2">
                    <c:v>27/06/2025</c:v>
                  </c:pt>
                  <c:pt idx="3">
                    <c:v>28/06/2025</c:v>
                  </c:pt>
                  <c:pt idx="4">
                    <c:v>29/06/2025</c:v>
                  </c:pt>
                  <c:pt idx="5">
                    <c:v>30/06/2025</c:v>
                  </c:pt>
                  <c:pt idx="6">
                    <c:v>1/07/2025</c:v>
                  </c:pt>
                  <c:pt idx="7">
                    <c:v>2/07/2025</c:v>
                  </c:pt>
                </c:lvl>
                <c:lvl>
                  <c:pt idx="0">
                    <c:v>ANTION PEREZ </c:v>
                  </c:pt>
                  <c:pt idx="1">
                    <c:v>JUAN FERNANEZ </c:v>
                  </c:pt>
                  <c:pt idx="2">
                    <c:v>AMELIA ANTONI</c:v>
                  </c:pt>
                  <c:pt idx="3">
                    <c:v>MARISA PEÑA</c:v>
                  </c:pt>
                  <c:pt idx="4">
                    <c:v>VIOLETA RODRIGEZ</c:v>
                  </c:pt>
                  <c:pt idx="5">
                    <c:v>CARMEN VENAMENTE</c:v>
                  </c:pt>
                  <c:pt idx="6">
                    <c:v>MARIOPUERTA</c:v>
                  </c:pt>
                  <c:pt idx="7">
                    <c:v>SALVADOR YUSTE</c:v>
                  </c:pt>
                </c:lvl>
              </c:multiLvlStrCache>
            </c:multiLvlStrRef>
          </c:cat>
          <c:val>
            <c:numRef>
              <c:f>Hoja3!$D$15:$D$22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7</c:v>
                </c:pt>
                <c:pt idx="4">
                  <c:v>14</c:v>
                </c:pt>
                <c:pt idx="5">
                  <c:v>10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B-426F-867C-A656296D6EAF}"/>
            </c:ext>
          </c:extLst>
        </c:ser>
        <c:ser>
          <c:idx val="1"/>
          <c:order val="1"/>
          <c:tx>
            <c:strRef>
              <c:f>Hoja3!$E$14</c:f>
              <c:strCache>
                <c:ptCount val="1"/>
                <c:pt idx="0">
                  <c:v>PRECIO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Hoja3!$B$15:$C$22</c:f>
              <c:multiLvlStrCache>
                <c:ptCount val="8"/>
                <c:lvl>
                  <c:pt idx="0">
                    <c:v>25/06/2025</c:v>
                  </c:pt>
                  <c:pt idx="1">
                    <c:v>20/06/2025</c:v>
                  </c:pt>
                  <c:pt idx="2">
                    <c:v>27/06/2025</c:v>
                  </c:pt>
                  <c:pt idx="3">
                    <c:v>28/06/2025</c:v>
                  </c:pt>
                  <c:pt idx="4">
                    <c:v>29/06/2025</c:v>
                  </c:pt>
                  <c:pt idx="5">
                    <c:v>30/06/2025</c:v>
                  </c:pt>
                  <c:pt idx="6">
                    <c:v>1/07/2025</c:v>
                  </c:pt>
                  <c:pt idx="7">
                    <c:v>2/07/2025</c:v>
                  </c:pt>
                </c:lvl>
                <c:lvl>
                  <c:pt idx="0">
                    <c:v>ANTION PEREZ </c:v>
                  </c:pt>
                  <c:pt idx="1">
                    <c:v>JUAN FERNANEZ </c:v>
                  </c:pt>
                  <c:pt idx="2">
                    <c:v>AMELIA ANTONI</c:v>
                  </c:pt>
                  <c:pt idx="3">
                    <c:v>MARISA PEÑA</c:v>
                  </c:pt>
                  <c:pt idx="4">
                    <c:v>VIOLETA RODRIGEZ</c:v>
                  </c:pt>
                  <c:pt idx="5">
                    <c:v>CARMEN VENAMENTE</c:v>
                  </c:pt>
                  <c:pt idx="6">
                    <c:v>MARIOPUERTA</c:v>
                  </c:pt>
                  <c:pt idx="7">
                    <c:v>SALVADOR YUSTE</c:v>
                  </c:pt>
                </c:lvl>
              </c:multiLvlStrCache>
            </c:multiLvlStrRef>
          </c:cat>
          <c:val>
            <c:numRef>
              <c:f>Hoja3!$E$15:$E$22</c:f>
              <c:numCache>
                <c:formatCode>"S/"\ #,##0.00</c:formatCode>
                <c:ptCount val="8"/>
                <c:pt idx="0">
                  <c:v>108</c:v>
                </c:pt>
                <c:pt idx="1">
                  <c:v>270</c:v>
                </c:pt>
                <c:pt idx="2">
                  <c:v>216</c:v>
                </c:pt>
                <c:pt idx="3">
                  <c:v>378</c:v>
                </c:pt>
                <c:pt idx="4">
                  <c:v>756</c:v>
                </c:pt>
                <c:pt idx="5">
                  <c:v>540</c:v>
                </c:pt>
                <c:pt idx="6">
                  <c:v>162</c:v>
                </c:pt>
                <c:pt idx="7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B-426F-867C-A656296D6EAF}"/>
            </c:ext>
          </c:extLst>
        </c:ser>
        <c:ser>
          <c:idx val="2"/>
          <c:order val="2"/>
          <c:tx>
            <c:strRef>
              <c:f>Hoja3!$F$14</c:f>
              <c:strCache>
                <c:ptCount val="1"/>
                <c:pt idx="0">
                  <c:v>IVA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Hoja3!$B$15:$C$22</c:f>
              <c:multiLvlStrCache>
                <c:ptCount val="8"/>
                <c:lvl>
                  <c:pt idx="0">
                    <c:v>25/06/2025</c:v>
                  </c:pt>
                  <c:pt idx="1">
                    <c:v>20/06/2025</c:v>
                  </c:pt>
                  <c:pt idx="2">
                    <c:v>27/06/2025</c:v>
                  </c:pt>
                  <c:pt idx="3">
                    <c:v>28/06/2025</c:v>
                  </c:pt>
                  <c:pt idx="4">
                    <c:v>29/06/2025</c:v>
                  </c:pt>
                  <c:pt idx="5">
                    <c:v>30/06/2025</c:v>
                  </c:pt>
                  <c:pt idx="6">
                    <c:v>1/07/2025</c:v>
                  </c:pt>
                  <c:pt idx="7">
                    <c:v>2/07/2025</c:v>
                  </c:pt>
                </c:lvl>
                <c:lvl>
                  <c:pt idx="0">
                    <c:v>ANTION PEREZ </c:v>
                  </c:pt>
                  <c:pt idx="1">
                    <c:v>JUAN FERNANEZ </c:v>
                  </c:pt>
                  <c:pt idx="2">
                    <c:v>AMELIA ANTONI</c:v>
                  </c:pt>
                  <c:pt idx="3">
                    <c:v>MARISA PEÑA</c:v>
                  </c:pt>
                  <c:pt idx="4">
                    <c:v>VIOLETA RODRIGEZ</c:v>
                  </c:pt>
                  <c:pt idx="5">
                    <c:v>CARMEN VENAMENTE</c:v>
                  </c:pt>
                  <c:pt idx="6">
                    <c:v>MARIOPUERTA</c:v>
                  </c:pt>
                  <c:pt idx="7">
                    <c:v>SALVADOR YUSTE</c:v>
                  </c:pt>
                </c:lvl>
              </c:multiLvlStrCache>
            </c:multiLvlStrRef>
          </c:cat>
          <c:val>
            <c:numRef>
              <c:f>Hoja3!$F$15:$F$22</c:f>
              <c:numCache>
                <c:formatCode>"S/"\ #,##0.00</c:formatCode>
                <c:ptCount val="8"/>
                <c:pt idx="0">
                  <c:v>17.28</c:v>
                </c:pt>
                <c:pt idx="1">
                  <c:v>43.2</c:v>
                </c:pt>
                <c:pt idx="2">
                  <c:v>34.56</c:v>
                </c:pt>
                <c:pt idx="3">
                  <c:v>60.480000000000004</c:v>
                </c:pt>
                <c:pt idx="4">
                  <c:v>120.96000000000001</c:v>
                </c:pt>
                <c:pt idx="5">
                  <c:v>86.4</c:v>
                </c:pt>
                <c:pt idx="6">
                  <c:v>25.92</c:v>
                </c:pt>
                <c:pt idx="7">
                  <c:v>25.92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AB-426F-867C-A656296D6EAF}"/>
            </c:ext>
          </c:extLst>
        </c:ser>
        <c:ser>
          <c:idx val="3"/>
          <c:order val="3"/>
          <c:tx>
            <c:strRef>
              <c:f>Hoja3!$G$14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Hoja3!$B$15:$C$22</c:f>
              <c:multiLvlStrCache>
                <c:ptCount val="8"/>
                <c:lvl>
                  <c:pt idx="0">
                    <c:v>25/06/2025</c:v>
                  </c:pt>
                  <c:pt idx="1">
                    <c:v>20/06/2025</c:v>
                  </c:pt>
                  <c:pt idx="2">
                    <c:v>27/06/2025</c:v>
                  </c:pt>
                  <c:pt idx="3">
                    <c:v>28/06/2025</c:v>
                  </c:pt>
                  <c:pt idx="4">
                    <c:v>29/06/2025</c:v>
                  </c:pt>
                  <c:pt idx="5">
                    <c:v>30/06/2025</c:v>
                  </c:pt>
                  <c:pt idx="6">
                    <c:v>1/07/2025</c:v>
                  </c:pt>
                  <c:pt idx="7">
                    <c:v>2/07/2025</c:v>
                  </c:pt>
                </c:lvl>
                <c:lvl>
                  <c:pt idx="0">
                    <c:v>ANTION PEREZ </c:v>
                  </c:pt>
                  <c:pt idx="1">
                    <c:v>JUAN FERNANEZ </c:v>
                  </c:pt>
                  <c:pt idx="2">
                    <c:v>AMELIA ANTONI</c:v>
                  </c:pt>
                  <c:pt idx="3">
                    <c:v>MARISA PEÑA</c:v>
                  </c:pt>
                  <c:pt idx="4">
                    <c:v>VIOLETA RODRIGEZ</c:v>
                  </c:pt>
                  <c:pt idx="5">
                    <c:v>CARMEN VENAMENTE</c:v>
                  </c:pt>
                  <c:pt idx="6">
                    <c:v>MARIOPUERTA</c:v>
                  </c:pt>
                  <c:pt idx="7">
                    <c:v>SALVADOR YUSTE</c:v>
                  </c:pt>
                </c:lvl>
              </c:multiLvlStrCache>
            </c:multiLvlStrRef>
          </c:cat>
          <c:val>
            <c:numRef>
              <c:f>Hoja3!$G$15:$G$22</c:f>
              <c:numCache>
                <c:formatCode>"S/"\ #,##0.00</c:formatCode>
                <c:ptCount val="8"/>
                <c:pt idx="0">
                  <c:v>125.28</c:v>
                </c:pt>
                <c:pt idx="1">
                  <c:v>287.27999999999997</c:v>
                </c:pt>
                <c:pt idx="2">
                  <c:v>233.28</c:v>
                </c:pt>
                <c:pt idx="3">
                  <c:v>395.28</c:v>
                </c:pt>
                <c:pt idx="4">
                  <c:v>773.28</c:v>
                </c:pt>
                <c:pt idx="5">
                  <c:v>557.28</c:v>
                </c:pt>
                <c:pt idx="6">
                  <c:v>179.28</c:v>
                </c:pt>
                <c:pt idx="7">
                  <c:v>179.28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AB-426F-867C-A656296D6EA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2</xdr:row>
      <xdr:rowOff>9525</xdr:rowOff>
    </xdr:from>
    <xdr:to>
      <xdr:col>2</xdr:col>
      <xdr:colOff>895350</xdr:colOff>
      <xdr:row>6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8F34EEF-A90E-4A39-8EF3-6A15637FF6C8}"/>
            </a:ext>
          </a:extLst>
        </xdr:cNvPr>
        <xdr:cNvSpPr txBox="1"/>
      </xdr:nvSpPr>
      <xdr:spPr>
        <a:xfrm>
          <a:off x="752475" y="390525"/>
          <a:ext cx="2600325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latin typeface="Arial Narrow" panose="020B0606020202030204" pitchFamily="34" charset="0"/>
            </a:rPr>
            <a:t>Realiza la siguiente tabla en execel terminando en cuenta</a:t>
          </a:r>
          <a:r>
            <a:rPr lang="es-PE" sz="1100" baseline="0">
              <a:latin typeface="Arial Narrow" panose="020B0606020202030204" pitchFamily="34" charset="0"/>
            </a:rPr>
            <a:t> que:</a:t>
          </a:r>
        </a:p>
        <a:p>
          <a:r>
            <a:rPr lang="es-PE" sz="1100" baseline="0">
              <a:latin typeface="Arial Narrow" panose="020B0606020202030204" pitchFamily="34" charset="0"/>
            </a:rPr>
            <a:t>El IVA se calcula con respecto el precio del total se calcula </a:t>
          </a:r>
          <a:endParaRPr lang="es-PE" sz="1100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</xdr:col>
      <xdr:colOff>9525</xdr:colOff>
      <xdr:row>28</xdr:row>
      <xdr:rowOff>38100</xdr:rowOff>
    </xdr:from>
    <xdr:to>
      <xdr:col>3</xdr:col>
      <xdr:colOff>266700</xdr:colOff>
      <xdr:row>33</xdr:row>
      <xdr:rowOff>28575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D78A799-C93A-4CA9-AE26-BB2C862FF191}"/>
            </a:ext>
          </a:extLst>
        </xdr:cNvPr>
        <xdr:cNvSpPr txBox="1"/>
      </xdr:nvSpPr>
      <xdr:spPr>
        <a:xfrm>
          <a:off x="771525" y="5543550"/>
          <a:ext cx="3486150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Realizar los calculos nesesarios y cambia el formato de la tabla representa graficamente precios de cada uno</a:t>
          </a:r>
          <a:r>
            <a:rPr lang="es-PE" sz="1100" baseline="0"/>
            <a:t> de los clientes realiza un circulo grafico cambia el nombre de hoja por </a:t>
          </a:r>
          <a:r>
            <a:rPr lang="es-PE" sz="1200" baseline="0"/>
            <a:t>hotel marimar  </a:t>
          </a:r>
          <a:endParaRPr lang="es-PE" sz="1100"/>
        </a:p>
      </xdr:txBody>
    </xdr:sp>
    <xdr:clientData/>
  </xdr:twoCellAnchor>
  <xdr:twoCellAnchor>
    <xdr:from>
      <xdr:col>7</xdr:col>
      <xdr:colOff>285750</xdr:colOff>
      <xdr:row>11</xdr:row>
      <xdr:rowOff>176212</xdr:rowOff>
    </xdr:from>
    <xdr:to>
      <xdr:col>13</xdr:col>
      <xdr:colOff>285750</xdr:colOff>
      <xdr:row>25</xdr:row>
      <xdr:rowOff>147637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3E37F8-2B4E-4755-83B6-DB034D963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D51E-16D3-4A8D-8574-9611592C7E73}">
  <dimension ref="B2:J17"/>
  <sheetViews>
    <sheetView workbookViewId="0">
      <selection activeCell="F8" sqref="F8"/>
    </sheetView>
  </sheetViews>
  <sheetFormatPr baseColWidth="10" defaultRowHeight="15" x14ac:dyDescent="0.25"/>
  <sheetData>
    <row r="2" spans="2:10" ht="15.75" thickBot="1" x14ac:dyDescent="0.3"/>
    <row r="3" spans="2:10" ht="16.5" thickTop="1" thickBot="1" x14ac:dyDescent="0.3">
      <c r="B3" s="25" t="s">
        <v>0</v>
      </c>
      <c r="C3" s="26"/>
      <c r="D3" s="26"/>
      <c r="E3" s="27"/>
      <c r="G3" s="2" t="s">
        <v>10</v>
      </c>
      <c r="H3" s="3"/>
      <c r="I3" s="3"/>
      <c r="J3" s="4"/>
    </row>
    <row r="4" spans="2:10" ht="16.5" thickTop="1" thickBot="1" x14ac:dyDescent="0.3">
      <c r="B4" s="5" t="s">
        <v>1</v>
      </c>
      <c r="C4" s="6"/>
      <c r="D4" s="6"/>
      <c r="E4" s="7"/>
      <c r="G4" s="1" t="s">
        <v>2</v>
      </c>
      <c r="H4" s="1">
        <v>23</v>
      </c>
      <c r="I4" s="1">
        <v>23</v>
      </c>
      <c r="J4" s="1">
        <v>54</v>
      </c>
    </row>
    <row r="5" spans="2:10" ht="16.5" thickTop="1" thickBot="1" x14ac:dyDescent="0.3">
      <c r="B5" s="1" t="s">
        <v>2</v>
      </c>
      <c r="C5" s="1">
        <v>23</v>
      </c>
      <c r="D5" s="1">
        <v>23</v>
      </c>
      <c r="E5" s="1">
        <v>23</v>
      </c>
      <c r="G5" s="1" t="s">
        <v>3</v>
      </c>
      <c r="H5" s="1">
        <v>32</v>
      </c>
      <c r="I5" s="1">
        <v>44</v>
      </c>
      <c r="J5" s="1">
        <v>63</v>
      </c>
    </row>
    <row r="6" spans="2:10" ht="16.5" thickTop="1" thickBot="1" x14ac:dyDescent="0.3">
      <c r="B6" s="1" t="s">
        <v>3</v>
      </c>
      <c r="C6" s="1">
        <v>47</v>
      </c>
      <c r="D6" s="1">
        <v>43</v>
      </c>
      <c r="E6" s="1">
        <v>34</v>
      </c>
      <c r="G6" s="1" t="s">
        <v>11</v>
      </c>
      <c r="H6" s="1">
        <f>H4*H5</f>
        <v>736</v>
      </c>
      <c r="I6" s="1">
        <f t="shared" ref="I6:J6" si="0">I4*I5</f>
        <v>1012</v>
      </c>
      <c r="J6" s="1">
        <f t="shared" si="0"/>
        <v>3402</v>
      </c>
    </row>
    <row r="7" spans="2:10" ht="16.5" thickTop="1" thickBot="1" x14ac:dyDescent="0.3">
      <c r="B7" s="1" t="s">
        <v>4</v>
      </c>
      <c r="C7" s="1">
        <v>124</v>
      </c>
      <c r="D7" s="1">
        <v>34</v>
      </c>
      <c r="E7" s="1">
        <v>34</v>
      </c>
      <c r="G7" s="1" t="s">
        <v>11</v>
      </c>
      <c r="H7" s="1">
        <f>H4/H5</f>
        <v>0.71875</v>
      </c>
      <c r="I7" s="1">
        <f t="shared" ref="I7:J7" si="1">I4/I5</f>
        <v>0.52272727272727271</v>
      </c>
      <c r="J7" s="1">
        <f t="shared" si="1"/>
        <v>0.8571428571428571</v>
      </c>
    </row>
    <row r="8" spans="2:10" ht="16.5" thickTop="1" thickBot="1" x14ac:dyDescent="0.3">
      <c r="B8" s="1" t="s">
        <v>5</v>
      </c>
      <c r="C8" s="1">
        <v>23</v>
      </c>
      <c r="D8" s="1">
        <v>43</v>
      </c>
      <c r="E8" s="1">
        <v>33</v>
      </c>
    </row>
    <row r="9" spans="2:10" ht="16.5" thickTop="1" thickBot="1" x14ac:dyDescent="0.3">
      <c r="B9" s="1" t="s">
        <v>6</v>
      </c>
      <c r="C9" s="1">
        <v>42</v>
      </c>
      <c r="D9" s="1">
        <v>34</v>
      </c>
      <c r="E9" s="1">
        <v>33</v>
      </c>
    </row>
    <row r="10" spans="2:10" ht="16.5" thickTop="1" thickBot="1" x14ac:dyDescent="0.3">
      <c r="B10" s="1" t="s">
        <v>7</v>
      </c>
      <c r="C10" s="1">
        <f>SUM(C5:C8)</f>
        <v>217</v>
      </c>
      <c r="D10" s="1">
        <f t="shared" ref="D10" si="2">SUM(D5:D8)</f>
        <v>143</v>
      </c>
      <c r="E10" s="1">
        <f>SUM(E5:E9)</f>
        <v>157</v>
      </c>
    </row>
    <row r="11" spans="2:10" ht="16.5" thickTop="1" thickBot="1" x14ac:dyDescent="0.3"/>
    <row r="12" spans="2:10" ht="16.5" thickTop="1" thickBot="1" x14ac:dyDescent="0.3">
      <c r="B12" s="2" t="s">
        <v>8</v>
      </c>
      <c r="C12" s="3"/>
      <c r="D12" s="3"/>
      <c r="E12" s="4"/>
    </row>
    <row r="13" spans="2:10" ht="16.5" thickTop="1" thickBot="1" x14ac:dyDescent="0.3">
      <c r="B13" s="1" t="s">
        <v>2</v>
      </c>
      <c r="C13" s="1">
        <v>53</v>
      </c>
      <c r="D13" s="1">
        <v>34</v>
      </c>
      <c r="E13" s="1">
        <v>12</v>
      </c>
    </row>
    <row r="14" spans="2:10" ht="16.5" thickTop="1" thickBot="1" x14ac:dyDescent="0.3">
      <c r="B14" s="1" t="s">
        <v>3</v>
      </c>
      <c r="C14" s="1">
        <v>47</v>
      </c>
      <c r="D14" s="1">
        <v>87</v>
      </c>
      <c r="E14" s="1">
        <v>21</v>
      </c>
    </row>
    <row r="15" spans="2:10" ht="16.5" thickTop="1" thickBot="1" x14ac:dyDescent="0.3">
      <c r="B15" s="1" t="s">
        <v>4</v>
      </c>
      <c r="C15" s="1">
        <v>34</v>
      </c>
      <c r="D15" s="1">
        <v>37</v>
      </c>
      <c r="E15" s="1">
        <v>51</v>
      </c>
    </row>
    <row r="16" spans="2:10" ht="16.5" thickTop="1" thickBot="1" x14ac:dyDescent="0.3">
      <c r="B16" s="1" t="s">
        <v>9</v>
      </c>
      <c r="C16" s="1">
        <f>SUM(C13:C15)</f>
        <v>134</v>
      </c>
      <c r="D16" s="1">
        <f t="shared" ref="D16:E16" si="3">SUM(D13:D15)</f>
        <v>158</v>
      </c>
      <c r="E16" s="1">
        <f t="shared" si="3"/>
        <v>84</v>
      </c>
    </row>
    <row r="17" ht="15.75" thickTop="1" x14ac:dyDescent="0.25"/>
  </sheetData>
  <mergeCells count="4">
    <mergeCell ref="B3:E3"/>
    <mergeCell ref="B4:E4"/>
    <mergeCell ref="B12:E12"/>
    <mergeCell ref="G3:J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4653-45BD-4A90-95D2-E13596DC884D}">
  <dimension ref="B1:K25"/>
  <sheetViews>
    <sheetView workbookViewId="0">
      <selection activeCell="B8" sqref="B8:C8"/>
    </sheetView>
  </sheetViews>
  <sheetFormatPr baseColWidth="10" defaultRowHeight="15" x14ac:dyDescent="0.25"/>
  <sheetData>
    <row r="1" spans="2:11" ht="15.75" thickBot="1" x14ac:dyDescent="0.3"/>
    <row r="2" spans="2:11" ht="15.75" thickBot="1" x14ac:dyDescent="0.3">
      <c r="B2" s="19" t="s">
        <v>12</v>
      </c>
      <c r="C2" s="20"/>
      <c r="D2" s="8">
        <v>5000</v>
      </c>
    </row>
    <row r="3" spans="2:11" ht="15.75" thickBot="1" x14ac:dyDescent="0.3">
      <c r="B3" s="19" t="s">
        <v>13</v>
      </c>
      <c r="C3" s="20"/>
      <c r="D3" s="10">
        <v>0.16</v>
      </c>
    </row>
    <row r="4" spans="2:11" ht="15.75" thickBot="1" x14ac:dyDescent="0.3">
      <c r="B4" s="19" t="s">
        <v>14</v>
      </c>
      <c r="C4" s="20"/>
      <c r="D4" s="8">
        <f>D2*D3</f>
        <v>800</v>
      </c>
    </row>
    <row r="5" spans="2:11" ht="15.75" thickBot="1" x14ac:dyDescent="0.3">
      <c r="B5" s="21" t="s">
        <v>15</v>
      </c>
      <c r="C5" s="22"/>
      <c r="D5" s="8">
        <f>D2+D4</f>
        <v>5800</v>
      </c>
    </row>
    <row r="6" spans="2:11" ht="15.75" thickBot="1" x14ac:dyDescent="0.3">
      <c r="K6" s="23" t="s">
        <v>36</v>
      </c>
    </row>
    <row r="7" spans="2:11" ht="15.75" thickBot="1" x14ac:dyDescent="0.3">
      <c r="B7" s="14" t="s">
        <v>16</v>
      </c>
      <c r="C7" s="15"/>
      <c r="D7" s="16" t="s">
        <v>35</v>
      </c>
      <c r="E7" s="17" t="s">
        <v>14</v>
      </c>
      <c r="F7" s="18" t="s">
        <v>15</v>
      </c>
      <c r="G7" s="18"/>
      <c r="K7" s="24">
        <v>0.16</v>
      </c>
    </row>
    <row r="8" spans="2:11" ht="15.75" thickBot="1" x14ac:dyDescent="0.3">
      <c r="B8" s="11" t="s">
        <v>17</v>
      </c>
      <c r="C8" s="12"/>
      <c r="D8" s="8">
        <v>1000</v>
      </c>
      <c r="E8" s="8">
        <f>D8*$D$3</f>
        <v>160</v>
      </c>
      <c r="F8" s="9">
        <f>D8+E8</f>
        <v>1160</v>
      </c>
      <c r="G8" s="9"/>
    </row>
    <row r="9" spans="2:11" ht="15.75" thickBot="1" x14ac:dyDescent="0.3">
      <c r="B9" s="11" t="s">
        <v>18</v>
      </c>
      <c r="C9" s="12"/>
      <c r="D9" s="8">
        <f>D8+100</f>
        <v>1100</v>
      </c>
      <c r="E9" s="8">
        <f t="shared" ref="E9:E25" si="0">D9*$D$3</f>
        <v>176</v>
      </c>
      <c r="F9" s="9">
        <f t="shared" ref="F9:F25" si="1">D9+E9</f>
        <v>1276</v>
      </c>
      <c r="G9" s="9"/>
    </row>
    <row r="10" spans="2:11" ht="15.75" thickBot="1" x14ac:dyDescent="0.3">
      <c r="B10" s="11" t="s">
        <v>19</v>
      </c>
      <c r="C10" s="12"/>
      <c r="D10" s="8">
        <f t="shared" ref="D10:D25" si="2">D9+100</f>
        <v>1200</v>
      </c>
      <c r="E10" s="8">
        <f t="shared" si="0"/>
        <v>192</v>
      </c>
      <c r="F10" s="9">
        <f t="shared" si="1"/>
        <v>1392</v>
      </c>
      <c r="G10" s="9"/>
    </row>
    <row r="11" spans="2:11" ht="15.75" thickBot="1" x14ac:dyDescent="0.3">
      <c r="B11" s="11" t="s">
        <v>20</v>
      </c>
      <c r="C11" s="12"/>
      <c r="D11" s="8">
        <f t="shared" si="2"/>
        <v>1300</v>
      </c>
      <c r="E11" s="8">
        <f t="shared" si="0"/>
        <v>208</v>
      </c>
      <c r="F11" s="9">
        <f t="shared" si="1"/>
        <v>1508</v>
      </c>
      <c r="G11" s="9"/>
    </row>
    <row r="12" spans="2:11" ht="15.75" thickBot="1" x14ac:dyDescent="0.3">
      <c r="B12" s="11" t="s">
        <v>21</v>
      </c>
      <c r="C12" s="12"/>
      <c r="D12" s="8">
        <f t="shared" si="2"/>
        <v>1400</v>
      </c>
      <c r="E12" s="8">
        <f t="shared" si="0"/>
        <v>224</v>
      </c>
      <c r="F12" s="9">
        <f t="shared" si="1"/>
        <v>1624</v>
      </c>
      <c r="G12" s="9"/>
    </row>
    <row r="13" spans="2:11" ht="15.75" thickBot="1" x14ac:dyDescent="0.3">
      <c r="B13" s="11" t="s">
        <v>22</v>
      </c>
      <c r="C13" s="12"/>
      <c r="D13" s="8">
        <f t="shared" si="2"/>
        <v>1500</v>
      </c>
      <c r="E13" s="8">
        <f t="shared" si="0"/>
        <v>240</v>
      </c>
      <c r="F13" s="9">
        <f t="shared" si="1"/>
        <v>1740</v>
      </c>
      <c r="G13" s="9"/>
    </row>
    <row r="14" spans="2:11" ht="15.75" thickBot="1" x14ac:dyDescent="0.3">
      <c r="B14" s="11" t="s">
        <v>23</v>
      </c>
      <c r="C14" s="12"/>
      <c r="D14" s="8">
        <f t="shared" si="2"/>
        <v>1600</v>
      </c>
      <c r="E14" s="8">
        <f t="shared" si="0"/>
        <v>256</v>
      </c>
      <c r="F14" s="9">
        <f t="shared" si="1"/>
        <v>1856</v>
      </c>
      <c r="G14" s="9"/>
    </row>
    <row r="15" spans="2:11" ht="15.75" thickBot="1" x14ac:dyDescent="0.3">
      <c r="B15" s="11" t="s">
        <v>24</v>
      </c>
      <c r="C15" s="12"/>
      <c r="D15" s="8">
        <f t="shared" si="2"/>
        <v>1700</v>
      </c>
      <c r="E15" s="8">
        <f t="shared" si="0"/>
        <v>272</v>
      </c>
      <c r="F15" s="9">
        <f t="shared" si="1"/>
        <v>1972</v>
      </c>
      <c r="G15" s="9"/>
    </row>
    <row r="16" spans="2:11" ht="15.75" thickBot="1" x14ac:dyDescent="0.3">
      <c r="B16" s="11" t="s">
        <v>25</v>
      </c>
      <c r="C16" s="12"/>
      <c r="D16" s="8">
        <f t="shared" si="2"/>
        <v>1800</v>
      </c>
      <c r="E16" s="8">
        <f t="shared" si="0"/>
        <v>288</v>
      </c>
      <c r="F16" s="9">
        <f t="shared" si="1"/>
        <v>2088</v>
      </c>
      <c r="G16" s="9"/>
    </row>
    <row r="17" spans="2:7" ht="15.75" thickBot="1" x14ac:dyDescent="0.3">
      <c r="B17" s="11" t="s">
        <v>26</v>
      </c>
      <c r="C17" s="12"/>
      <c r="D17" s="8">
        <f t="shared" si="2"/>
        <v>1900</v>
      </c>
      <c r="E17" s="8">
        <f t="shared" si="0"/>
        <v>304</v>
      </c>
      <c r="F17" s="9">
        <f t="shared" si="1"/>
        <v>2204</v>
      </c>
      <c r="G17" s="9"/>
    </row>
    <row r="18" spans="2:7" ht="15.75" thickBot="1" x14ac:dyDescent="0.3">
      <c r="B18" s="11" t="s">
        <v>27</v>
      </c>
      <c r="C18" s="12"/>
      <c r="D18" s="8">
        <f t="shared" si="2"/>
        <v>2000</v>
      </c>
      <c r="E18" s="8">
        <f t="shared" si="0"/>
        <v>320</v>
      </c>
      <c r="F18" s="9">
        <f t="shared" si="1"/>
        <v>2320</v>
      </c>
      <c r="G18" s="9"/>
    </row>
    <row r="19" spans="2:7" ht="15.75" thickBot="1" x14ac:dyDescent="0.3">
      <c r="B19" s="11" t="s">
        <v>28</v>
      </c>
      <c r="C19" s="12"/>
      <c r="D19" s="8">
        <f t="shared" si="2"/>
        <v>2100</v>
      </c>
      <c r="E19" s="8">
        <f t="shared" si="0"/>
        <v>336</v>
      </c>
      <c r="F19" s="9">
        <f t="shared" si="1"/>
        <v>2436</v>
      </c>
      <c r="G19" s="9"/>
    </row>
    <row r="20" spans="2:7" ht="15.75" thickBot="1" x14ac:dyDescent="0.3">
      <c r="B20" s="11" t="s">
        <v>29</v>
      </c>
      <c r="C20" s="12"/>
      <c r="D20" s="8">
        <f t="shared" si="2"/>
        <v>2200</v>
      </c>
      <c r="E20" s="8">
        <f t="shared" si="0"/>
        <v>352</v>
      </c>
      <c r="F20" s="9">
        <f t="shared" si="1"/>
        <v>2552</v>
      </c>
      <c r="G20" s="9"/>
    </row>
    <row r="21" spans="2:7" ht="15.75" thickBot="1" x14ac:dyDescent="0.3">
      <c r="B21" s="11" t="s">
        <v>30</v>
      </c>
      <c r="C21" s="12"/>
      <c r="D21" s="8">
        <f t="shared" si="2"/>
        <v>2300</v>
      </c>
      <c r="E21" s="8">
        <f t="shared" si="0"/>
        <v>368</v>
      </c>
      <c r="F21" s="9">
        <f t="shared" si="1"/>
        <v>2668</v>
      </c>
      <c r="G21" s="9"/>
    </row>
    <row r="22" spans="2:7" ht="15.75" thickBot="1" x14ac:dyDescent="0.3">
      <c r="B22" s="11" t="s">
        <v>31</v>
      </c>
      <c r="C22" s="12"/>
      <c r="D22" s="8">
        <f t="shared" si="2"/>
        <v>2400</v>
      </c>
      <c r="E22" s="8">
        <f t="shared" si="0"/>
        <v>384</v>
      </c>
      <c r="F22" s="9">
        <f t="shared" si="1"/>
        <v>2784</v>
      </c>
      <c r="G22" s="9"/>
    </row>
    <row r="23" spans="2:7" ht="15.75" thickBot="1" x14ac:dyDescent="0.3">
      <c r="B23" s="11" t="s">
        <v>32</v>
      </c>
      <c r="C23" s="12"/>
      <c r="D23" s="8">
        <f t="shared" si="2"/>
        <v>2500</v>
      </c>
      <c r="E23" s="8">
        <f t="shared" si="0"/>
        <v>400</v>
      </c>
      <c r="F23" s="9">
        <f t="shared" si="1"/>
        <v>2900</v>
      </c>
      <c r="G23" s="9"/>
    </row>
    <row r="24" spans="2:7" ht="15.75" thickBot="1" x14ac:dyDescent="0.3">
      <c r="B24" s="11" t="s">
        <v>33</v>
      </c>
      <c r="C24" s="12"/>
      <c r="D24" s="8">
        <f t="shared" si="2"/>
        <v>2600</v>
      </c>
      <c r="E24" s="8">
        <f t="shared" si="0"/>
        <v>416</v>
      </c>
      <c r="F24" s="9">
        <f t="shared" si="1"/>
        <v>3016</v>
      </c>
      <c r="G24" s="9"/>
    </row>
    <row r="25" spans="2:7" ht="15.75" thickBot="1" x14ac:dyDescent="0.3">
      <c r="B25" s="13" t="s">
        <v>34</v>
      </c>
      <c r="C25" s="13"/>
      <c r="D25" s="8">
        <f t="shared" si="2"/>
        <v>2700</v>
      </c>
      <c r="E25" s="8">
        <f t="shared" si="0"/>
        <v>432</v>
      </c>
      <c r="F25" s="9">
        <f t="shared" si="1"/>
        <v>3132</v>
      </c>
      <c r="G25" s="9"/>
    </row>
  </sheetData>
  <mergeCells count="42">
    <mergeCell ref="F25:G25"/>
    <mergeCell ref="F19:G19"/>
    <mergeCell ref="F20:G20"/>
    <mergeCell ref="F21:G21"/>
    <mergeCell ref="F22:G22"/>
    <mergeCell ref="F23:G23"/>
    <mergeCell ref="F24:G24"/>
    <mergeCell ref="F13:G13"/>
    <mergeCell ref="F14:G14"/>
    <mergeCell ref="F15:G15"/>
    <mergeCell ref="F16:G16"/>
    <mergeCell ref="F17:G17"/>
    <mergeCell ref="F18:G18"/>
    <mergeCell ref="B23:C23"/>
    <mergeCell ref="B24:C24"/>
    <mergeCell ref="B25:C25"/>
    <mergeCell ref="F7:G7"/>
    <mergeCell ref="F8:G8"/>
    <mergeCell ref="F9:G9"/>
    <mergeCell ref="F10:G10"/>
    <mergeCell ref="F11:G11"/>
    <mergeCell ref="F12:G12"/>
    <mergeCell ref="B17:C17"/>
    <mergeCell ref="B18:C18"/>
    <mergeCell ref="B19:C19"/>
    <mergeCell ref="B20:C20"/>
    <mergeCell ref="B21:C21"/>
    <mergeCell ref="B22:C22"/>
    <mergeCell ref="B11:C11"/>
    <mergeCell ref="B12:C12"/>
    <mergeCell ref="B13:C13"/>
    <mergeCell ref="B14:C14"/>
    <mergeCell ref="B15:C15"/>
    <mergeCell ref="B16:C16"/>
    <mergeCell ref="B5:C5"/>
    <mergeCell ref="B4:C4"/>
    <mergeCell ref="B3:C3"/>
    <mergeCell ref="B2:C2"/>
    <mergeCell ref="B7:C7"/>
    <mergeCell ref="B8:C8"/>
    <mergeCell ref="B9:C9"/>
    <mergeCell ref="B10:C10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C6A59-F19F-4125-BDA6-6A22CCAE8449}">
  <dimension ref="B2:G27"/>
  <sheetViews>
    <sheetView tabSelected="1" workbookViewId="0">
      <selection activeCell="E27" sqref="E27"/>
    </sheetView>
  </sheetViews>
  <sheetFormatPr baseColWidth="10" defaultRowHeight="15" x14ac:dyDescent="0.25"/>
  <cols>
    <col min="2" max="2" width="25.42578125" customWidth="1"/>
    <col min="3" max="3" width="23" customWidth="1"/>
    <col min="4" max="5" width="17.7109375" customWidth="1"/>
  </cols>
  <sheetData>
    <row r="2" spans="2:7" ht="18.75" x14ac:dyDescent="0.4">
      <c r="B2" s="32" t="s">
        <v>37</v>
      </c>
    </row>
    <row r="13" spans="2:7" ht="15.75" thickBot="1" x14ac:dyDescent="0.3"/>
    <row r="14" spans="2:7" ht="15.75" thickBot="1" x14ac:dyDescent="0.3">
      <c r="B14" s="30" t="s">
        <v>39</v>
      </c>
      <c r="C14" s="23" t="s">
        <v>40</v>
      </c>
      <c r="D14" s="23" t="s">
        <v>48</v>
      </c>
      <c r="E14" s="23" t="s">
        <v>12</v>
      </c>
      <c r="F14" s="23" t="s">
        <v>49</v>
      </c>
      <c r="G14" s="23" t="s">
        <v>9</v>
      </c>
    </row>
    <row r="15" spans="2:7" ht="15.75" thickBot="1" x14ac:dyDescent="0.3">
      <c r="B15" s="8" t="s">
        <v>38</v>
      </c>
      <c r="C15" s="28">
        <v>45833</v>
      </c>
      <c r="D15" s="8">
        <v>2</v>
      </c>
      <c r="E15" s="29">
        <f>D15*$C$26</f>
        <v>108</v>
      </c>
      <c r="F15" s="29">
        <f>E15*$C$27</f>
        <v>17.28</v>
      </c>
      <c r="G15" s="29">
        <f>E15+$F$15</f>
        <v>125.28</v>
      </c>
    </row>
    <row r="16" spans="2:7" ht="15.75" thickBot="1" x14ac:dyDescent="0.3">
      <c r="B16" s="8" t="s">
        <v>41</v>
      </c>
      <c r="C16" s="28">
        <v>45828</v>
      </c>
      <c r="D16" s="8">
        <v>5</v>
      </c>
      <c r="E16" s="29">
        <f t="shared" ref="E16:E22" si="0">D16*$C$26</f>
        <v>270</v>
      </c>
      <c r="F16" s="29">
        <f t="shared" ref="F16:F22" si="1">E16*$C$27</f>
        <v>43.2</v>
      </c>
      <c r="G16" s="29">
        <f t="shared" ref="G16:G22" si="2">E16+$F$15</f>
        <v>287.27999999999997</v>
      </c>
    </row>
    <row r="17" spans="2:7" ht="15.75" thickBot="1" x14ac:dyDescent="0.3">
      <c r="B17" s="8" t="s">
        <v>42</v>
      </c>
      <c r="C17" s="28">
        <v>45835</v>
      </c>
      <c r="D17" s="8">
        <v>4</v>
      </c>
      <c r="E17" s="29">
        <f t="shared" si="0"/>
        <v>216</v>
      </c>
      <c r="F17" s="29">
        <f t="shared" si="1"/>
        <v>34.56</v>
      </c>
      <c r="G17" s="29">
        <f t="shared" si="2"/>
        <v>233.28</v>
      </c>
    </row>
    <row r="18" spans="2:7" ht="15.75" thickBot="1" x14ac:dyDescent="0.3">
      <c r="B18" s="8" t="s">
        <v>43</v>
      </c>
      <c r="C18" s="28">
        <v>45836</v>
      </c>
      <c r="D18" s="8">
        <v>7</v>
      </c>
      <c r="E18" s="29">
        <f t="shared" si="0"/>
        <v>378</v>
      </c>
      <c r="F18" s="29">
        <f t="shared" si="1"/>
        <v>60.480000000000004</v>
      </c>
      <c r="G18" s="29">
        <f t="shared" si="2"/>
        <v>395.28</v>
      </c>
    </row>
    <row r="19" spans="2:7" ht="15.75" thickBot="1" x14ac:dyDescent="0.3">
      <c r="B19" s="8" t="s">
        <v>44</v>
      </c>
      <c r="C19" s="28">
        <v>45837</v>
      </c>
      <c r="D19" s="8">
        <v>14</v>
      </c>
      <c r="E19" s="29">
        <f t="shared" si="0"/>
        <v>756</v>
      </c>
      <c r="F19" s="29">
        <f t="shared" si="1"/>
        <v>120.96000000000001</v>
      </c>
      <c r="G19" s="29">
        <f t="shared" si="2"/>
        <v>773.28</v>
      </c>
    </row>
    <row r="20" spans="2:7" ht="15.75" thickBot="1" x14ac:dyDescent="0.3">
      <c r="B20" s="8" t="s">
        <v>45</v>
      </c>
      <c r="C20" s="28">
        <v>45838</v>
      </c>
      <c r="D20" s="8">
        <v>10</v>
      </c>
      <c r="E20" s="29">
        <f t="shared" si="0"/>
        <v>540</v>
      </c>
      <c r="F20" s="29">
        <f t="shared" si="1"/>
        <v>86.4</v>
      </c>
      <c r="G20" s="29">
        <f t="shared" si="2"/>
        <v>557.28</v>
      </c>
    </row>
    <row r="21" spans="2:7" ht="15.75" thickBot="1" x14ac:dyDescent="0.3">
      <c r="B21" s="8" t="s">
        <v>46</v>
      </c>
      <c r="C21" s="28">
        <v>45839</v>
      </c>
      <c r="D21" s="8">
        <v>3</v>
      </c>
      <c r="E21" s="29">
        <f t="shared" si="0"/>
        <v>162</v>
      </c>
      <c r="F21" s="29">
        <f t="shared" si="1"/>
        <v>25.92</v>
      </c>
      <c r="G21" s="29">
        <f t="shared" si="2"/>
        <v>179.28</v>
      </c>
    </row>
    <row r="22" spans="2:7" ht="15.75" thickBot="1" x14ac:dyDescent="0.3">
      <c r="B22" s="8" t="s">
        <v>47</v>
      </c>
      <c r="C22" s="28">
        <v>45840</v>
      </c>
      <c r="D22" s="8">
        <v>3</v>
      </c>
      <c r="E22" s="29">
        <f t="shared" si="0"/>
        <v>162</v>
      </c>
      <c r="F22" s="29">
        <f t="shared" si="1"/>
        <v>25.92</v>
      </c>
      <c r="G22" s="29">
        <f t="shared" si="2"/>
        <v>179.28</v>
      </c>
    </row>
    <row r="25" spans="2:7" ht="15.75" thickBot="1" x14ac:dyDescent="0.3"/>
    <row r="26" spans="2:7" ht="15.75" thickBot="1" x14ac:dyDescent="0.3">
      <c r="B26" s="31" t="s">
        <v>50</v>
      </c>
      <c r="C26" s="31">
        <v>54</v>
      </c>
    </row>
    <row r="27" spans="2:7" ht="15.75" thickBot="1" x14ac:dyDescent="0.3">
      <c r="B27" s="8" t="s">
        <v>49</v>
      </c>
      <c r="C27" s="10">
        <v>0.16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pract.1</vt:lpstr>
      <vt:lpstr>pract.2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 57</dc:creator>
  <cp:lastModifiedBy>Hello 57</cp:lastModifiedBy>
  <dcterms:created xsi:type="dcterms:W3CDTF">2025-10-20T18:42:31Z</dcterms:created>
  <dcterms:modified xsi:type="dcterms:W3CDTF">2025-10-24T17:37:04Z</dcterms:modified>
</cp:coreProperties>
</file>